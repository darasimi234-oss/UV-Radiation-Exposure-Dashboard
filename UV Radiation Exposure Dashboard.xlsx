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16DCE94-7A3C-49D4-93E0-49997A01DDFC}" xr6:coauthVersionLast="47" xr6:coauthVersionMax="47" xr10:uidLastSave="{00000000-0000-0000-0000-000000000000}"/>
  <bookViews>
    <workbookView xWindow="-120" yWindow="-120" windowWidth="20730" windowHeight="11160" xr2:uid="{DA0C1A25-2C75-4787-B111-4C22304F1AA2}"/>
  </bookViews>
  <sheets>
    <sheet name="Data Source" sheetId="1" r:id="rId1"/>
    <sheet name="Dashboard" sheetId="2" r:id="rId2"/>
  </sheets>
  <definedNames>
    <definedName name="_Toc179820949" localSheetId="0">'Data Source'!$P$10</definedName>
    <definedName name="_Toc179820951" localSheetId="0">'Data Source'!$AB$10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" i="1" l="1"/>
  <c r="I7" i="1"/>
  <c r="I8" i="1"/>
  <c r="I6" i="1"/>
  <c r="G9" i="1"/>
  <c r="H9" i="1"/>
  <c r="J9" i="1"/>
  <c r="K9" i="1"/>
  <c r="F9" i="1"/>
  <c r="I9" i="1" s="1"/>
</calcChain>
</file>

<file path=xl/sharedStrings.xml><?xml version="1.0" encoding="utf-8"?>
<sst xmlns="http://schemas.openxmlformats.org/spreadsheetml/2006/main" count="50" uniqueCount="26">
  <si>
    <t>TIME</t>
  </si>
  <si>
    <t xml:space="preserve">8-12AM </t>
  </si>
  <si>
    <t>12-4PM</t>
  </si>
  <si>
    <t>4-8PM</t>
  </si>
  <si>
    <t xml:space="preserve">Daily mean (mW/cm²) </t>
  </si>
  <si>
    <t>Mean Temprature(°C)</t>
  </si>
  <si>
    <t>Mean Hummidity(%)</t>
  </si>
  <si>
    <t>DAY</t>
  </si>
  <si>
    <t>UV EXPOSURE LEVEL(mW/cm²)</t>
  </si>
  <si>
    <t>Hourly mean</t>
  </si>
  <si>
    <t>Day</t>
  </si>
  <si>
    <t>Open space</t>
  </si>
  <si>
    <t>Day 1</t>
  </si>
  <si>
    <t>Day 2</t>
  </si>
  <si>
    <t>Day3</t>
  </si>
  <si>
    <t>Daily Mean UV Exposure</t>
  </si>
  <si>
    <t>Hourly MEAN UV Exposure</t>
  </si>
  <si>
    <t>Classroom</t>
  </si>
  <si>
    <t xml:space="preserve"> 12 - 4 PM</t>
  </si>
  <si>
    <t>8-12AM</t>
  </si>
  <si>
    <t>Time</t>
  </si>
  <si>
    <t>UV Radiation Exposure Dashboard</t>
  </si>
  <si>
    <t>Under tree canopy</t>
  </si>
  <si>
    <t xml:space="preserve"> UV EXPOSURE LEVEL UNDER A TREE CANOPY</t>
  </si>
  <si>
    <t>UV EXPOSURE LEVEL IN OPEN SPACE</t>
  </si>
  <si>
    <t xml:space="preserve"> UV EXPOSURE LEVEL IN A CLASSROOM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</si>
</sst>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20"/>
      <color theme="4" tint="-0.499984740745262"/>
      <name val="Calibri"/>
      <family val="2"/>
      <scheme val="minor"/>
    </font>
    <font>
      <sz val="12"/>
      <color theme="4" tint="-0.499984740745262"/>
      <name val="Times New Roman"/>
      <family val="1"/>
    </font>
    <font>
      <sz val="11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3" xfId="0" applyBorder="1" applyAlignment="1">
      <alignment vertical="top"/>
    </xf>
    <xf numFmtId="0" fontId="1" fillId="0" borderId="4" xfId="0" applyFont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  <xf numFmtId="0" fontId="0" fillId="0" borderId="0" xfId="0" applyAlignment="1">
      <alignment vertical="center"/>
    </xf>
    <xf numFmtId="0" fontId="0" fillId="0" borderId="8" xfId="0" applyBorder="1"/>
    <xf numFmtId="0" fontId="1" fillId="0" borderId="8" xfId="0" applyFont="1" applyBorder="1" applyAlignment="1">
      <alignment horizontal="justify" vertical="center"/>
    </xf>
    <xf numFmtId="16" fontId="0" fillId="0" borderId="8" xfId="0" applyNumberFormat="1" applyBorder="1"/>
    <xf numFmtId="166" fontId="0" fillId="0" borderId="8" xfId="0" applyNumberFormat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/>
    <xf numFmtId="0" fontId="2" fillId="2" borderId="11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 vertical="center" indent="11"/>
    </xf>
    <xf numFmtId="0" fontId="2" fillId="3" borderId="9" xfId="0" applyFont="1" applyFill="1" applyBorder="1"/>
    <xf numFmtId="0" fontId="2" fillId="3" borderId="11" xfId="0" applyFont="1" applyFill="1" applyBorder="1"/>
    <xf numFmtId="0" fontId="2" fillId="3" borderId="10" xfId="0" applyFont="1" applyFill="1" applyBorder="1" applyAlignment="1">
      <alignment horizontal="left" indent="10"/>
    </xf>
    <xf numFmtId="0" fontId="4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justify" vertical="center"/>
    </xf>
    <xf numFmtId="0" fontId="6" fillId="4" borderId="2" xfId="0" applyFont="1" applyFill="1" applyBorder="1" applyAlignment="1">
      <alignment horizontal="justify" vertical="center"/>
    </xf>
    <xf numFmtId="0" fontId="6" fillId="4" borderId="2" xfId="0" applyFont="1" applyFill="1" applyBorder="1" applyAlignment="1">
      <alignment horizontal="justify" vertical="center"/>
    </xf>
    <xf numFmtId="0" fontId="1" fillId="4" borderId="4" xfId="0" applyFont="1" applyFill="1" applyBorder="1" applyAlignment="1">
      <alignment horizontal="justify" vertical="center"/>
    </xf>
    <xf numFmtId="0" fontId="1" fillId="4" borderId="1" xfId="0" applyFont="1" applyFill="1" applyBorder="1" applyAlignment="1">
      <alignment horizontal="justify" vertical="center"/>
    </xf>
    <xf numFmtId="0" fontId="1" fillId="4" borderId="5" xfId="0" applyFont="1" applyFill="1" applyBorder="1" applyAlignment="1">
      <alignment horizontal="justify" vertical="center"/>
    </xf>
    <xf numFmtId="0" fontId="1" fillId="4" borderId="2" xfId="0" applyFont="1" applyFill="1" applyBorder="1" applyAlignment="1">
      <alignment horizontal="justify" vertical="center"/>
    </xf>
    <xf numFmtId="0" fontId="1" fillId="5" borderId="6" xfId="0" applyFont="1" applyFill="1" applyBorder="1" applyAlignment="1">
      <alignment horizontal="justify" vertical="center"/>
    </xf>
    <xf numFmtId="0" fontId="1" fillId="5" borderId="2" xfId="0" applyFont="1" applyFill="1" applyBorder="1" applyAlignment="1">
      <alignment horizontal="justify" vertical="center"/>
    </xf>
    <xf numFmtId="0" fontId="1" fillId="5" borderId="7" xfId="0" applyFont="1" applyFill="1" applyBorder="1" applyAlignment="1">
      <alignment horizontal="justify" vertical="center"/>
    </xf>
    <xf numFmtId="0" fontId="1" fillId="5" borderId="3" xfId="0" applyFont="1" applyFill="1" applyBorder="1" applyAlignment="1">
      <alignment horizontal="justify" vertical="center"/>
    </xf>
    <xf numFmtId="0" fontId="1" fillId="5" borderId="1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justify" vertical="center"/>
    </xf>
    <xf numFmtId="0" fontId="1" fillId="5" borderId="1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/>
    </xf>
    <xf numFmtId="0" fontId="0" fillId="4" borderId="3" xfId="0" applyFont="1" applyFill="1" applyBorder="1" applyAlignment="1">
      <alignment vertical="top"/>
    </xf>
    <xf numFmtId="0" fontId="0" fillId="4" borderId="4" xfId="0" applyFont="1" applyFill="1" applyBorder="1" applyAlignment="1">
      <alignment vertical="top" wrapText="1"/>
    </xf>
    <xf numFmtId="0" fontId="1" fillId="6" borderId="6" xfId="0" applyFont="1" applyFill="1" applyBorder="1" applyAlignment="1">
      <alignment horizontal="justify" vertical="center"/>
    </xf>
    <xf numFmtId="0" fontId="1" fillId="6" borderId="2" xfId="0" applyFont="1" applyFill="1" applyBorder="1" applyAlignment="1">
      <alignment horizontal="justify" vertical="center"/>
    </xf>
    <xf numFmtId="0" fontId="1" fillId="6" borderId="7" xfId="0" applyFont="1" applyFill="1" applyBorder="1" applyAlignment="1">
      <alignment horizontal="justify" vertical="center"/>
    </xf>
    <xf numFmtId="0" fontId="1" fillId="6" borderId="3" xfId="0" applyFont="1" applyFill="1" applyBorder="1" applyAlignment="1">
      <alignment horizontal="justify" vertical="center"/>
    </xf>
    <xf numFmtId="0" fontId="1" fillId="6" borderId="1" xfId="0" applyFont="1" applyFill="1" applyBorder="1" applyAlignment="1">
      <alignment horizontal="justify" vertical="center"/>
    </xf>
    <xf numFmtId="0" fontId="1" fillId="6" borderId="5" xfId="0" applyFont="1" applyFill="1" applyBorder="1" applyAlignment="1">
      <alignment horizontal="justify" vertical="center"/>
    </xf>
    <xf numFmtId="0" fontId="1" fillId="6" borderId="2" xfId="0" applyFont="1" applyFill="1" applyBorder="1" applyAlignment="1">
      <alignment horizontal="justify" vertical="center"/>
    </xf>
    <xf numFmtId="0" fontId="1" fillId="6" borderId="3" xfId="0" applyFont="1" applyFill="1" applyBorder="1" applyAlignment="1">
      <alignment horizontal="justify" vertical="center"/>
    </xf>
    <xf numFmtId="0" fontId="1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Mean</a:t>
            </a:r>
            <a:r>
              <a:rPr lang="en-US" baseline="0"/>
              <a:t> UV Exposure by location </a:t>
            </a:r>
            <a:endParaRPr lang="en-US"/>
          </a:p>
        </c:rich>
      </c:tx>
      <c:layout>
        <c:manualLayout>
          <c:xMode val="edge"/>
          <c:yMode val="edge"/>
          <c:x val="0.30288251979238795"/>
          <c:y val="6.5609483689234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425222099407"/>
          <c:y val="0.29854156163663181"/>
          <c:w val="0.78237932596791993"/>
          <c:h val="0.55615667419970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Dashboard!$B$15</c:f>
              <c:strCache>
                <c:ptCount val="1"/>
                <c:pt idx="0">
                  <c:v>Day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Dashboard!$C$13:$E$14</c:f>
              <c:strCache>
                <c:ptCount val="3"/>
                <c:pt idx="0">
                  <c:v>Open space</c:v>
                </c:pt>
                <c:pt idx="1">
                  <c:v>Under tree canopy</c:v>
                </c:pt>
                <c:pt idx="2">
                  <c:v>Classroom</c:v>
                </c:pt>
              </c:strCache>
            </c:strRef>
          </c:cat>
          <c:val>
            <c:numRef>
              <c:f>Dashboard!$C$15:$E$15</c:f>
              <c:numCache>
                <c:formatCode>General</c:formatCode>
                <c:ptCount val="3"/>
                <c:pt idx="0">
                  <c:v>0.216</c:v>
                </c:pt>
                <c:pt idx="1">
                  <c:v>1.32E-2</c:v>
                </c:pt>
                <c:pt idx="2">
                  <c:v>1.2666667E-2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2-4870-BD58-FF719D367FF1}"/>
            </c:ext>
          </c:extLst>
        </c:ser>
        <c:ser>
          <c:idx val="1"/>
          <c:order val="1"/>
          <c:tx>
            <c:strRef>
              <c:f>Dashboard!$B$16</c:f>
              <c:strCache>
                <c:ptCount val="1"/>
                <c:pt idx="0">
                  <c:v>Day 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Dashboard!$C$13:$E$14</c:f>
              <c:strCache>
                <c:ptCount val="3"/>
                <c:pt idx="0">
                  <c:v>Open space</c:v>
                </c:pt>
                <c:pt idx="1">
                  <c:v>Under tree canopy</c:v>
                </c:pt>
                <c:pt idx="2">
                  <c:v>Classroom</c:v>
                </c:pt>
              </c:strCache>
            </c:strRef>
          </c:cat>
          <c:val>
            <c:numRef>
              <c:f>Dashboard!$C$16:$E$16</c:f>
              <c:numCache>
                <c:formatCode>General</c:formatCode>
                <c:ptCount val="3"/>
                <c:pt idx="0">
                  <c:v>0.13153333333333334</c:v>
                </c:pt>
                <c:pt idx="1">
                  <c:v>3.8466667000000003E-2</c:v>
                </c:pt>
                <c:pt idx="2">
                  <c:v>2.7733332999999999E-2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92-4870-BD58-FF719D367FF1}"/>
            </c:ext>
          </c:extLst>
        </c:ser>
        <c:ser>
          <c:idx val="2"/>
          <c:order val="2"/>
          <c:tx>
            <c:strRef>
              <c:f>Dashboard!$B$17</c:f>
              <c:strCache>
                <c:ptCount val="1"/>
                <c:pt idx="0">
                  <c:v>Day3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Dashboard!$C$13:$E$14</c:f>
              <c:strCache>
                <c:ptCount val="3"/>
                <c:pt idx="0">
                  <c:v>Open space</c:v>
                </c:pt>
                <c:pt idx="1">
                  <c:v>Under tree canopy</c:v>
                </c:pt>
                <c:pt idx="2">
                  <c:v>Classroom</c:v>
                </c:pt>
              </c:strCache>
            </c:strRef>
          </c:cat>
          <c:val>
            <c:numRef>
              <c:f>Dashboard!$C$17:$E$17</c:f>
              <c:numCache>
                <c:formatCode>General</c:formatCode>
                <c:ptCount val="3"/>
                <c:pt idx="0">
                  <c:v>0.16566666666666666</c:v>
                </c:pt>
                <c:pt idx="1">
                  <c:v>2.9333333E-2</c:v>
                </c:pt>
                <c:pt idx="2">
                  <c:v>4.1399999999999999E-2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92-4870-BD58-FF719D367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7622767"/>
        <c:axId val="1916956991"/>
      </c:barChart>
      <c:catAx>
        <c:axId val="1917622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956991"/>
        <c:crosses val="autoZero"/>
        <c:auto val="1"/>
        <c:lblAlgn val="ctr"/>
        <c:lblOffset val="100"/>
        <c:noMultiLvlLbl val="0"/>
      </c:catAx>
      <c:valAx>
        <c:axId val="191695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UV (mW/cm</a:t>
                </a:r>
                <a:r>
                  <a:rPr lang="en-US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62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30750782301845"/>
          <c:y val="0.15953065285711632"/>
          <c:w val="0.29162208479632684"/>
          <c:h val="7.7982187164672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</a:t>
            </a:r>
            <a:r>
              <a:rPr lang="en-US" baseline="0"/>
              <a:t> Mean UV Exposure by location</a:t>
            </a:r>
          </a:p>
          <a:p>
            <a:pPr algn="ctr">
              <a:defRPr/>
            </a:pPr>
            <a:endParaRPr lang="en-US"/>
          </a:p>
        </c:rich>
      </c:tx>
      <c:layout>
        <c:manualLayout>
          <c:xMode val="edge"/>
          <c:yMode val="edge"/>
          <c:x val="0.31794057695404049"/>
          <c:y val="6.57770614402682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769298143615006"/>
          <c:y val="0.31086108357498787"/>
          <c:w val="0.761509722878703"/>
          <c:h val="0.5731297264085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Dashboard!$B$42</c:f>
              <c:strCache>
                <c:ptCount val="1"/>
                <c:pt idx="0">
                  <c:v>8-12AM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Dashboard!$C$40:$E$41</c:f>
              <c:strCache>
                <c:ptCount val="3"/>
                <c:pt idx="0">
                  <c:v>Open space</c:v>
                </c:pt>
                <c:pt idx="1">
                  <c:v>Under tree canopy</c:v>
                </c:pt>
                <c:pt idx="2">
                  <c:v>Classroom</c:v>
                </c:pt>
              </c:strCache>
            </c:strRef>
          </c:cat>
          <c:val>
            <c:numRef>
              <c:f>Dashboard!$C$42:$E$42</c:f>
              <c:numCache>
                <c:formatCode>General</c:formatCode>
                <c:ptCount val="3"/>
                <c:pt idx="0">
                  <c:v>0.165333333333333</c:v>
                </c:pt>
                <c:pt idx="1">
                  <c:v>5.3533329999999997E-2</c:v>
                </c:pt>
                <c:pt idx="2">
                  <c:v>5.706667E-2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C-4065-995F-992D1FF24765}"/>
            </c:ext>
          </c:extLst>
        </c:ser>
        <c:ser>
          <c:idx val="1"/>
          <c:order val="1"/>
          <c:tx>
            <c:strRef>
              <c:f>Dashboard!$B$43</c:f>
              <c:strCache>
                <c:ptCount val="1"/>
                <c:pt idx="0">
                  <c:v> 12 - 4 PM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Dashboard!$C$40:$E$41</c:f>
              <c:strCache>
                <c:ptCount val="3"/>
                <c:pt idx="0">
                  <c:v>Open space</c:v>
                </c:pt>
                <c:pt idx="1">
                  <c:v>Under tree canopy</c:v>
                </c:pt>
                <c:pt idx="2">
                  <c:v>Classroom</c:v>
                </c:pt>
              </c:strCache>
            </c:strRef>
          </c:cat>
          <c:val>
            <c:numRef>
              <c:f>Dashboard!$C$43:$E$43</c:f>
              <c:numCache>
                <c:formatCode>General</c:formatCode>
                <c:ptCount val="3"/>
                <c:pt idx="0">
                  <c:v>0.25133333333333335</c:v>
                </c:pt>
                <c:pt idx="1">
                  <c:v>8.6666669999999994E-3</c:v>
                </c:pt>
                <c:pt idx="2">
                  <c:v>1.3066667000000001E-2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EC-4065-995F-992D1FF24765}"/>
            </c:ext>
          </c:extLst>
        </c:ser>
        <c:ser>
          <c:idx val="2"/>
          <c:order val="2"/>
          <c:tx>
            <c:strRef>
              <c:f>Dashboard!$B$44</c:f>
              <c:strCache>
                <c:ptCount val="1"/>
                <c:pt idx="0">
                  <c:v>4-8PM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Dashboard!$C$40:$E$41</c:f>
              <c:strCache>
                <c:ptCount val="3"/>
                <c:pt idx="0">
                  <c:v>Open space</c:v>
                </c:pt>
                <c:pt idx="1">
                  <c:v>Under tree canopy</c:v>
                </c:pt>
                <c:pt idx="2">
                  <c:v>Classroom</c:v>
                </c:pt>
              </c:strCache>
            </c:strRef>
          </c:cat>
          <c:val>
            <c:numRef>
              <c:f>Dashboard!$C$44:$E$44</c:f>
              <c:numCache>
                <c:formatCode>General</c:formatCode>
                <c:ptCount val="3"/>
                <c:pt idx="0">
                  <c:v>9.6533333333333346E-2</c:v>
                </c:pt>
                <c:pt idx="1">
                  <c:v>1.8800000000000001E-2</c:v>
                </c:pt>
                <c:pt idx="2">
                  <c:v>1.1666667E-2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EC-4065-995F-992D1FF24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9247327"/>
        <c:axId val="239255007"/>
      </c:barChart>
      <c:catAx>
        <c:axId val="23924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55007"/>
        <c:crosses val="autoZero"/>
        <c:auto val="1"/>
        <c:lblAlgn val="ctr"/>
        <c:lblOffset val="100"/>
        <c:noMultiLvlLbl val="0"/>
      </c:catAx>
      <c:valAx>
        <c:axId val="23925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UV (mW/cm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4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7255803997274335"/>
          <c:y val="0.15850122464325409"/>
          <c:w val="0.27460566548266446"/>
          <c:h val="5.5267616530204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91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26285</xdr:colOff>
      <xdr:row>3</xdr:row>
      <xdr:rowOff>183658</xdr:rowOff>
    </xdr:from>
    <xdr:to>
      <xdr:col>19</xdr:col>
      <xdr:colOff>-1</xdr:colOff>
      <xdr:row>23</xdr:row>
      <xdr:rowOff>68768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DA4D1E-0ED5-B581-C4CE-08A08C0D0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27</xdr:row>
      <xdr:rowOff>185489</xdr:rowOff>
    </xdr:from>
    <xdr:to>
      <xdr:col>19</xdr:col>
      <xdr:colOff>-1</xdr:colOff>
      <xdr:row>48</xdr:row>
      <xdr:rowOff>45421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122C26-CCDC-A227-9951-F627D1EED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28577</xdr:colOff>
      <xdr:row>4</xdr:row>
      <xdr:rowOff>23431</xdr:rowOff>
    </xdr:from>
    <xdr:to>
      <xdr:col>23</xdr:col>
      <xdr:colOff>428626</xdr:colOff>
      <xdr:row>6</xdr:row>
      <xdr:rowOff>142875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7896764-3ED1-1967-468D-7E08FB7B93F6}"/>
            </a:ext>
          </a:extLst>
        </xdr:cNvPr>
        <xdr:cNvSpPr/>
      </xdr:nvSpPr>
      <xdr:spPr>
        <a:xfrm>
          <a:off x="14182727" y="928306"/>
          <a:ext cx="1647824" cy="500444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1"/>
              </a:solidFill>
            </a:rPr>
            <a:t>Highest UV Exposure   0.2998mW/cm2 </a:t>
          </a:r>
        </a:p>
      </xdr:txBody>
    </xdr:sp>
    <xdr:clientData/>
  </xdr:twoCellAnchor>
  <xdr:twoCellAnchor>
    <xdr:from>
      <xdr:col>21</xdr:col>
      <xdr:colOff>9526</xdr:colOff>
      <xdr:row>7</xdr:row>
      <xdr:rowOff>166043</xdr:rowOff>
    </xdr:from>
    <xdr:to>
      <xdr:col>23</xdr:col>
      <xdr:colOff>438151</xdr:colOff>
      <xdr:row>10</xdr:row>
      <xdr:rowOff>85725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BC760E7-6269-4311-9EFD-E05F66DFBCA7}"/>
            </a:ext>
          </a:extLst>
        </xdr:cNvPr>
        <xdr:cNvSpPr/>
      </xdr:nvSpPr>
      <xdr:spPr>
        <a:xfrm>
          <a:off x="14163676" y="1642418"/>
          <a:ext cx="1676400" cy="491182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1"/>
              </a:solidFill>
            </a:rPr>
            <a:t>Lowest UV Exposure   </a:t>
          </a:r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0.0002</a:t>
          </a:r>
          <a:r>
            <a:rPr lang="en-US" b="1">
              <a:solidFill>
                <a:schemeClr val="tx1"/>
              </a:solidFill>
              <a:effectLst/>
            </a:rPr>
            <a:t> </a:t>
          </a:r>
          <a:r>
            <a:rPr lang="en-US" sz="1100" b="1">
              <a:solidFill>
                <a:schemeClr val="tx1"/>
              </a:solidFill>
            </a:rPr>
            <a:t>mW/cm2 </a:t>
          </a:r>
        </a:p>
      </xdr:txBody>
    </xdr:sp>
    <xdr:clientData/>
  </xdr:twoCellAnchor>
  <xdr:twoCellAnchor>
    <xdr:from>
      <xdr:col>21</xdr:col>
      <xdr:colOff>9525</xdr:colOff>
      <xdr:row>11</xdr:row>
      <xdr:rowOff>179896</xdr:rowOff>
    </xdr:from>
    <xdr:to>
      <xdr:col>23</xdr:col>
      <xdr:colOff>485775</xdr:colOff>
      <xdr:row>14</xdr:row>
      <xdr:rowOff>114300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AA6E584-DD93-4C23-B41F-1158B4C9F899}"/>
            </a:ext>
          </a:extLst>
        </xdr:cNvPr>
        <xdr:cNvSpPr/>
      </xdr:nvSpPr>
      <xdr:spPr>
        <a:xfrm>
          <a:off x="14163675" y="2418271"/>
          <a:ext cx="1724025" cy="505904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Mean </a:t>
          </a:r>
          <a:r>
            <a:rPr lang="en-US" sz="11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Temprature </a:t>
          </a:r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26.88°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9525</xdr:colOff>
      <xdr:row>16</xdr:row>
      <xdr:rowOff>1480</xdr:rowOff>
    </xdr:from>
    <xdr:to>
      <xdr:col>23</xdr:col>
      <xdr:colOff>514350</xdr:colOff>
      <xdr:row>18</xdr:row>
      <xdr:rowOff>95250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F46D268-C3CC-40A9-A6CF-E541BDFD0D63}"/>
            </a:ext>
          </a:extLst>
        </xdr:cNvPr>
        <xdr:cNvSpPr/>
      </xdr:nvSpPr>
      <xdr:spPr>
        <a:xfrm>
          <a:off x="14163675" y="3211405"/>
          <a:ext cx="1752600" cy="484295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Mean</a:t>
          </a:r>
          <a:r>
            <a:rPr lang="en-US" sz="11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Humidity </a:t>
          </a:r>
        </a:p>
        <a:p>
          <a:pPr algn="ctr"/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73.7°%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21</xdr:col>
      <xdr:colOff>29687</xdr:colOff>
      <xdr:row>22</xdr:row>
      <xdr:rowOff>130427</xdr:rowOff>
    </xdr:from>
    <xdr:ext cx="4151847" cy="23311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266E1CD-034E-1091-716F-F59BF0D68C5D}"/>
            </a:ext>
          </a:extLst>
        </xdr:cNvPr>
        <xdr:cNvSpPr txBox="1"/>
      </xdr:nvSpPr>
      <xdr:spPr>
        <a:xfrm>
          <a:off x="14235544" y="4511927"/>
          <a:ext cx="4151847" cy="233115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lvl="0" algn="l"/>
          <a:r>
            <a:rPr lang="en-US" sz="1200" b="1"/>
            <a:t>Key</a:t>
          </a:r>
          <a:r>
            <a:rPr lang="en-US" sz="1200" b="1" baseline="0"/>
            <a:t> Insights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US" sz="1200" b="1"/>
            <a:t>Open</a:t>
          </a:r>
          <a:r>
            <a:rPr lang="en-US" sz="1200" b="1" baseline="0"/>
            <a:t> Space recorded the highest mean UV exposure throughtout the study.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US" sz="1200" b="1" baseline="0"/>
            <a:t>Under Tree Canopy consistently reduced UV exposure compared with Open Space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US" sz="1200" b="1" baseline="0"/>
            <a:t>Classroom recoreded the lowest UV exposure, indicating effective protection from direct sunlight.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US" sz="1200" b="1" baseline="0"/>
            <a:t>UV exposure was highest during the 12:00AM-4:00PM period and lower during the morning and evening.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US" sz="1200" b="1" baseline="0"/>
            <a:t>The results highlight the importance of shade and indoor enviroment in reducing UV radiation exposure.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8F69-8A17-4EFA-B6A0-EE0590289DAB}">
  <dimension ref="D3:AH27"/>
  <sheetViews>
    <sheetView showGridLines="0" tabSelected="1" zoomScale="40" zoomScaleNormal="40" workbookViewId="0">
      <selection activeCell="Q34" sqref="Q34"/>
    </sheetView>
  </sheetViews>
  <sheetFormatPr defaultRowHeight="15" x14ac:dyDescent="0.25"/>
  <cols>
    <col min="6" max="6" width="12.140625" customWidth="1"/>
    <col min="7" max="7" width="12.7109375" customWidth="1"/>
    <col min="8" max="8" width="14.5703125" customWidth="1"/>
    <col min="9" max="9" width="15.140625" customWidth="1"/>
    <col min="10" max="10" width="17.140625" customWidth="1"/>
    <col min="11" max="11" width="15.140625" customWidth="1"/>
    <col min="14" max="14" width="6.7109375" bestFit="1" customWidth="1"/>
    <col min="15" max="15" width="17.85546875" customWidth="1"/>
    <col min="16" max="16" width="10.5703125" customWidth="1"/>
    <col min="17" max="17" width="11" customWidth="1"/>
    <col min="19" max="19" width="10.7109375" customWidth="1"/>
    <col min="20" max="20" width="13.140625" customWidth="1"/>
    <col min="21" max="21" width="13.85546875" customWidth="1"/>
    <col min="22" max="22" width="19.7109375" customWidth="1"/>
    <col min="23" max="23" width="14" customWidth="1"/>
    <col min="31" max="31" width="11.7109375" customWidth="1"/>
    <col min="32" max="32" width="13.28515625" customWidth="1"/>
  </cols>
  <sheetData>
    <row r="3" spans="4:34" ht="15.75" thickBot="1" x14ac:dyDescent="0.3"/>
    <row r="4" spans="4:34" ht="32.25" customHeight="1" thickBot="1" x14ac:dyDescent="0.3">
      <c r="D4" s="21" t="s">
        <v>0</v>
      </c>
      <c r="E4" s="22"/>
      <c r="F4" s="23" t="s">
        <v>1</v>
      </c>
      <c r="G4" s="23" t="s">
        <v>2</v>
      </c>
      <c r="H4" s="23" t="s">
        <v>3</v>
      </c>
      <c r="I4" s="23" t="s">
        <v>4</v>
      </c>
      <c r="J4" s="23" t="s">
        <v>5</v>
      </c>
      <c r="K4" s="23" t="s">
        <v>6</v>
      </c>
      <c r="P4" s="28" t="s">
        <v>0</v>
      </c>
      <c r="Q4" s="29" t="s">
        <v>1</v>
      </c>
      <c r="R4" s="29" t="s">
        <v>2</v>
      </c>
      <c r="S4" s="29" t="s">
        <v>3</v>
      </c>
      <c r="T4" s="30" t="s">
        <v>4</v>
      </c>
      <c r="U4" s="30" t="s">
        <v>5</v>
      </c>
      <c r="V4" s="30" t="s">
        <v>6</v>
      </c>
      <c r="AB4" s="40" t="s">
        <v>0</v>
      </c>
      <c r="AC4" s="41" t="s">
        <v>1</v>
      </c>
      <c r="AD4" s="41" t="s">
        <v>2</v>
      </c>
      <c r="AE4" s="41" t="s">
        <v>3</v>
      </c>
      <c r="AF4" s="42" t="s">
        <v>4</v>
      </c>
      <c r="AG4" s="42" t="s">
        <v>5</v>
      </c>
      <c r="AH4" s="42" t="s">
        <v>6</v>
      </c>
    </row>
    <row r="5" spans="4:34" ht="16.5" thickBot="1" x14ac:dyDescent="0.3">
      <c r="D5" s="38"/>
      <c r="E5" s="24" t="s">
        <v>7</v>
      </c>
      <c r="F5" s="25" t="s">
        <v>8</v>
      </c>
      <c r="G5" s="26"/>
      <c r="H5" s="27"/>
      <c r="I5" s="39"/>
      <c r="J5" s="39"/>
      <c r="K5" s="39"/>
      <c r="P5" s="31" t="s">
        <v>7</v>
      </c>
      <c r="Q5" s="32" t="s">
        <v>8</v>
      </c>
      <c r="R5" s="33"/>
      <c r="S5" s="34"/>
      <c r="T5" s="35"/>
      <c r="U5" s="35"/>
      <c r="V5" s="35"/>
      <c r="AB5" s="43" t="s">
        <v>7</v>
      </c>
      <c r="AC5" s="44" t="s">
        <v>8</v>
      </c>
      <c r="AD5" s="45"/>
      <c r="AE5" s="46"/>
      <c r="AF5" s="47"/>
      <c r="AG5" s="47"/>
      <c r="AH5" s="47"/>
    </row>
    <row r="6" spans="4:34" ht="16.5" thickBot="1" x14ac:dyDescent="0.3">
      <c r="D6" s="1"/>
      <c r="E6" s="2">
        <v>1</v>
      </c>
      <c r="F6" s="2">
        <v>0.24879999999999999</v>
      </c>
      <c r="G6" s="2">
        <v>0.29980000000000001</v>
      </c>
      <c r="H6" s="2">
        <v>9.9400000000000002E-2</v>
      </c>
      <c r="I6" s="2">
        <f>AVERAGE(F6,G6,H6)</f>
        <v>0.216</v>
      </c>
      <c r="J6" s="2">
        <v>28.266666669999999</v>
      </c>
      <c r="K6" s="2">
        <v>65.666666669999998</v>
      </c>
      <c r="P6" s="3">
        <v>1</v>
      </c>
      <c r="Q6" s="2">
        <v>2.76E-2</v>
      </c>
      <c r="R6" s="2">
        <v>8.8000000000000005E-3</v>
      </c>
      <c r="S6" s="2">
        <v>3.2000000000000002E-3</v>
      </c>
      <c r="T6" s="2">
        <v>1.32E-2</v>
      </c>
      <c r="U6" s="2">
        <v>28.333333329999999</v>
      </c>
      <c r="V6" s="2">
        <v>65.933333329999996</v>
      </c>
      <c r="AB6" s="3">
        <v>1</v>
      </c>
      <c r="AC6" s="2">
        <v>3.6999999999999998E-2</v>
      </c>
      <c r="AD6" s="2">
        <v>2.0000000000000001E-4</v>
      </c>
      <c r="AE6" s="2">
        <v>8.0000000000000004E-4</v>
      </c>
      <c r="AF6" s="2">
        <v>1.2666667E-2</v>
      </c>
      <c r="AG6" s="2">
        <v>28.466666669999999</v>
      </c>
      <c r="AH6" s="2">
        <v>65.666666669999998</v>
      </c>
    </row>
    <row r="7" spans="4:34" ht="16.5" thickBot="1" x14ac:dyDescent="0.3">
      <c r="D7" s="1"/>
      <c r="E7" s="2">
        <v>2</v>
      </c>
      <c r="F7" s="2">
        <v>0.159</v>
      </c>
      <c r="G7" s="2">
        <v>0.16819999999999999</v>
      </c>
      <c r="H7" s="2">
        <v>6.7400000000000002E-2</v>
      </c>
      <c r="I7" s="2">
        <f t="shared" ref="I7:I9" si="0">AVERAGE(F7,G7,H7)</f>
        <v>0.13153333333333334</v>
      </c>
      <c r="J7" s="2">
        <v>25.733333330000001</v>
      </c>
      <c r="K7" s="2">
        <v>79.266666670000006</v>
      </c>
      <c r="P7" s="3">
        <v>2</v>
      </c>
      <c r="Q7" s="2">
        <v>7.1400000000000005E-2</v>
      </c>
      <c r="R7" s="2">
        <v>9.5999999999999992E-3</v>
      </c>
      <c r="S7" s="2">
        <v>3.44E-2</v>
      </c>
      <c r="T7" s="2">
        <v>3.8466667000000003E-2</v>
      </c>
      <c r="U7" s="2">
        <v>25.733333330000001</v>
      </c>
      <c r="V7" s="2">
        <v>79.266666670000006</v>
      </c>
      <c r="AB7" s="3">
        <v>2</v>
      </c>
      <c r="AC7" s="2">
        <v>6.7400000000000002E-2</v>
      </c>
      <c r="AD7" s="2">
        <v>6.7999999999999996E-3</v>
      </c>
      <c r="AE7" s="2">
        <v>8.9999999999999993E-3</v>
      </c>
      <c r="AF7" s="2">
        <v>2.7733332999999999E-2</v>
      </c>
      <c r="AG7" s="2">
        <v>25.666666670000001</v>
      </c>
      <c r="AH7" s="2">
        <v>79.2</v>
      </c>
    </row>
    <row r="8" spans="4:34" ht="16.5" thickBot="1" x14ac:dyDescent="0.3">
      <c r="D8" s="1"/>
      <c r="E8" s="2">
        <v>3</v>
      </c>
      <c r="F8" s="2">
        <v>8.8200000000000001E-2</v>
      </c>
      <c r="G8" s="2">
        <v>0.28599999999999998</v>
      </c>
      <c r="H8" s="2">
        <v>0.12280000000000001</v>
      </c>
      <c r="I8" s="2">
        <f t="shared" si="0"/>
        <v>0.16566666666666666</v>
      </c>
      <c r="J8" s="2">
        <v>26.533333330000001</v>
      </c>
      <c r="K8" s="2">
        <v>76.2</v>
      </c>
      <c r="P8" s="3">
        <v>3</v>
      </c>
      <c r="Q8" s="2">
        <v>6.1600000000000002E-2</v>
      </c>
      <c r="R8" s="2">
        <v>7.6E-3</v>
      </c>
      <c r="S8" s="2">
        <v>1.8800000000000001E-2</v>
      </c>
      <c r="T8" s="2">
        <v>2.9333333E-2</v>
      </c>
      <c r="U8" s="2">
        <v>26.6</v>
      </c>
      <c r="V8" s="2">
        <v>76.133333329999999</v>
      </c>
      <c r="AB8" s="3">
        <v>3</v>
      </c>
      <c r="AC8" s="2">
        <v>6.6799999999999998E-2</v>
      </c>
      <c r="AD8" s="2">
        <v>3.2199999999999999E-2</v>
      </c>
      <c r="AE8" s="2">
        <v>2.52E-2</v>
      </c>
      <c r="AF8" s="2">
        <v>4.1399999999999999E-2</v>
      </c>
      <c r="AG8" s="2">
        <v>26.6</v>
      </c>
      <c r="AH8" s="2">
        <v>76</v>
      </c>
    </row>
    <row r="9" spans="4:34" ht="32.25" thickBot="1" x14ac:dyDescent="0.3">
      <c r="D9" s="1"/>
      <c r="E9" s="2" t="s">
        <v>9</v>
      </c>
      <c r="F9" s="2">
        <f>AVERAGE(F6:F8)</f>
        <v>0.16533333333333333</v>
      </c>
      <c r="G9" s="2">
        <f t="shared" ref="G9:K9" si="1">AVERAGE(G6:G8)</f>
        <v>0.25133333333333335</v>
      </c>
      <c r="H9" s="2">
        <f t="shared" si="1"/>
        <v>9.6533333333333346E-2</v>
      </c>
      <c r="I9" s="2">
        <f t="shared" si="0"/>
        <v>0.17106666666666667</v>
      </c>
      <c r="J9" s="2">
        <f t="shared" si="1"/>
        <v>26.844444443333334</v>
      </c>
      <c r="K9" s="2">
        <f t="shared" si="1"/>
        <v>73.711111113333331</v>
      </c>
      <c r="P9" s="3" t="s">
        <v>9</v>
      </c>
      <c r="Q9" s="2">
        <v>5.3533329999999997E-2</v>
      </c>
      <c r="R9" s="2">
        <v>8.6666669999999994E-3</v>
      </c>
      <c r="S9" s="2">
        <f>AVERAGE(S6:S8)</f>
        <v>1.8800000000000001E-2</v>
      </c>
      <c r="T9" s="2">
        <v>2.7E-2</v>
      </c>
      <c r="U9" s="2">
        <v>26.88888889</v>
      </c>
      <c r="V9" s="2">
        <v>73.777777779999994</v>
      </c>
      <c r="AB9" s="3" t="s">
        <v>9</v>
      </c>
      <c r="AC9" s="2">
        <v>5.706667E-2</v>
      </c>
      <c r="AD9" s="2">
        <v>1.3066667000000001E-2</v>
      </c>
      <c r="AE9" s="2">
        <v>1.1666667E-2</v>
      </c>
      <c r="AF9" s="2">
        <v>2.7266667000000001E-2</v>
      </c>
      <c r="AG9" s="2">
        <v>26.91111111</v>
      </c>
      <c r="AH9" s="2">
        <v>73.622222219999998</v>
      </c>
    </row>
    <row r="10" spans="4:34" ht="15.75" x14ac:dyDescent="0.25">
      <c r="D10" s="37" t="s">
        <v>24</v>
      </c>
      <c r="E10" s="37"/>
      <c r="F10" s="37"/>
      <c r="G10" s="37"/>
      <c r="H10" s="37"/>
      <c r="I10" s="37"/>
      <c r="J10" s="37"/>
      <c r="K10" s="37"/>
      <c r="P10" s="36" t="s">
        <v>23</v>
      </c>
      <c r="Q10" s="36"/>
      <c r="R10" s="36"/>
      <c r="S10" s="36"/>
      <c r="T10" s="36"/>
      <c r="U10" s="36"/>
      <c r="V10" s="36"/>
      <c r="AB10" s="48" t="s">
        <v>25</v>
      </c>
      <c r="AC10" s="48"/>
      <c r="AD10" s="48"/>
      <c r="AE10" s="48"/>
      <c r="AF10" s="48"/>
      <c r="AG10" s="48"/>
      <c r="AH10" s="48"/>
    </row>
    <row r="11" spans="4:34" x14ac:dyDescent="0.25">
      <c r="P11" s="4"/>
    </row>
    <row r="26" ht="16.5" customHeight="1" x14ac:dyDescent="0.25"/>
    <row r="27" ht="16.5" customHeight="1" x14ac:dyDescent="0.25"/>
  </sheetData>
  <mergeCells count="13">
    <mergeCell ref="D10:K10"/>
    <mergeCell ref="AB10:AH10"/>
    <mergeCell ref="T4:T5"/>
    <mergeCell ref="U4:U5"/>
    <mergeCell ref="V4:V5"/>
    <mergeCell ref="Q5:S5"/>
    <mergeCell ref="P10:V10"/>
    <mergeCell ref="AF4:AF5"/>
    <mergeCell ref="AG4:AG5"/>
    <mergeCell ref="AH4:AH5"/>
    <mergeCell ref="AC5:AE5"/>
    <mergeCell ref="D4:E4"/>
    <mergeCell ref="F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140A-1D12-46D5-B679-3CFA5AB7FCD8}">
  <dimension ref="B1:R56"/>
  <sheetViews>
    <sheetView showGridLines="0" topLeftCell="A8" zoomScale="55" zoomScaleNormal="55" workbookViewId="0">
      <selection activeCell="F22" sqref="F22"/>
    </sheetView>
  </sheetViews>
  <sheetFormatPr defaultRowHeight="15" x14ac:dyDescent="0.25"/>
  <cols>
    <col min="2" max="2" width="11.5703125" bestFit="1" customWidth="1"/>
    <col min="3" max="3" width="13.85546875" customWidth="1"/>
    <col min="4" max="4" width="19.85546875" customWidth="1"/>
    <col min="5" max="5" width="11.5703125" customWidth="1"/>
    <col min="23" max="23" width="9.5703125" customWidth="1"/>
    <col min="24" max="24" width="19" customWidth="1"/>
    <col min="25" max="25" width="15.5703125" bestFit="1" customWidth="1"/>
  </cols>
  <sheetData>
    <row r="1" spans="2:18" ht="26.25" x14ac:dyDescent="0.4">
      <c r="K1" s="18"/>
      <c r="N1" s="19" t="s">
        <v>21</v>
      </c>
      <c r="O1" s="9"/>
      <c r="P1" s="9"/>
      <c r="Q1" s="9"/>
      <c r="R1" s="10"/>
    </row>
    <row r="4" spans="2:18" x14ac:dyDescent="0.25">
      <c r="N4" s="10"/>
      <c r="O4" s="10"/>
    </row>
    <row r="13" spans="2:18" x14ac:dyDescent="0.25">
      <c r="B13" s="14" t="s">
        <v>15</v>
      </c>
      <c r="C13" s="12"/>
      <c r="D13" s="11"/>
      <c r="E13" s="13"/>
    </row>
    <row r="14" spans="2:18" x14ac:dyDescent="0.25">
      <c r="B14" s="5" t="s">
        <v>10</v>
      </c>
      <c r="C14" s="5" t="s">
        <v>11</v>
      </c>
      <c r="D14" s="5" t="s">
        <v>22</v>
      </c>
      <c r="E14" s="5" t="s">
        <v>17</v>
      </c>
    </row>
    <row r="15" spans="2:18" ht="15.75" x14ac:dyDescent="0.25">
      <c r="B15" s="5" t="s">
        <v>12</v>
      </c>
      <c r="C15" s="5">
        <v>0.216</v>
      </c>
      <c r="D15" s="6">
        <v>1.32E-2</v>
      </c>
      <c r="E15" s="6">
        <v>1.2666667E-2</v>
      </c>
    </row>
    <row r="16" spans="2:18" ht="15.75" x14ac:dyDescent="0.25">
      <c r="B16" s="5" t="s">
        <v>13</v>
      </c>
      <c r="C16" s="5">
        <v>0.13153333333333334</v>
      </c>
      <c r="D16" s="6">
        <v>3.8466667000000003E-2</v>
      </c>
      <c r="E16" s="6">
        <v>2.7733332999999999E-2</v>
      </c>
    </row>
    <row r="17" spans="2:5" ht="15.75" x14ac:dyDescent="0.25">
      <c r="B17" s="5" t="s">
        <v>14</v>
      </c>
      <c r="C17" s="5">
        <v>0.16566666666666666</v>
      </c>
      <c r="D17" s="6">
        <v>2.9333333E-2</v>
      </c>
      <c r="E17" s="6">
        <v>4.1399999999999999E-2</v>
      </c>
    </row>
    <row r="40" spans="2:5" x14ac:dyDescent="0.25">
      <c r="B40" s="17" t="s">
        <v>16</v>
      </c>
      <c r="C40" s="15"/>
      <c r="D40" s="15"/>
      <c r="E40" s="16"/>
    </row>
    <row r="41" spans="2:5" x14ac:dyDescent="0.25">
      <c r="B41" s="5" t="s">
        <v>20</v>
      </c>
      <c r="C41" s="5" t="s">
        <v>11</v>
      </c>
      <c r="D41" s="5" t="s">
        <v>22</v>
      </c>
      <c r="E41" s="5" t="s">
        <v>17</v>
      </c>
    </row>
    <row r="42" spans="2:5" x14ac:dyDescent="0.25">
      <c r="B42" s="7" t="s">
        <v>19</v>
      </c>
      <c r="C42" s="5">
        <v>0.165333333333333</v>
      </c>
      <c r="D42" s="5">
        <v>5.3533329999999997E-2</v>
      </c>
      <c r="E42" s="5">
        <v>5.706667E-2</v>
      </c>
    </row>
    <row r="43" spans="2:5" x14ac:dyDescent="0.25">
      <c r="B43" s="8" t="s">
        <v>18</v>
      </c>
      <c r="C43" s="5">
        <v>0.25133333333333335</v>
      </c>
      <c r="D43" s="5">
        <v>8.6666669999999994E-3</v>
      </c>
      <c r="E43" s="5">
        <v>1.3066667000000001E-2</v>
      </c>
    </row>
    <row r="44" spans="2:5" ht="15.75" x14ac:dyDescent="0.25">
      <c r="B44" s="5" t="s">
        <v>3</v>
      </c>
      <c r="C44" s="5">
        <v>9.6533333333333346E-2</v>
      </c>
      <c r="D44" s="6">
        <v>1.8800000000000001E-2</v>
      </c>
      <c r="E44" s="5">
        <v>1.1666667E-2</v>
      </c>
    </row>
    <row r="55" spans="9:14" x14ac:dyDescent="0.25">
      <c r="I55" s="20"/>
      <c r="J55" s="20"/>
      <c r="K55" s="20"/>
      <c r="L55" s="20"/>
      <c r="M55" s="20"/>
      <c r="N55" s="20"/>
    </row>
    <row r="56" spans="9:14" x14ac:dyDescent="0.25">
      <c r="J56" s="10"/>
    </row>
  </sheetData>
  <mergeCells count="1">
    <mergeCell ref="I55:N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 Source</vt:lpstr>
      <vt:lpstr>Dashboard</vt:lpstr>
      <vt:lpstr>'Data Source'!_Toc179820949</vt:lpstr>
      <vt:lpstr>'Data Source'!_Toc179820951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Segun Adeyanju</dc:creator>
  <cp:lastModifiedBy>Segun Adeyanju</cp:lastModifiedBy>
  <dcterms:created xsi:type="dcterms:W3CDTF">2026-07-19T16:50:55Z</dcterms:created>
  <dcterms:modified xsi:type="dcterms:W3CDTF">2026-07-20T18:32:54Z</dcterms:modified>
</cp:coreProperties>
</file>